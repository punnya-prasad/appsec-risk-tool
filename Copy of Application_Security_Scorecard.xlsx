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OOJA PRASAD\Downloads\"/>
    </mc:Choice>
  </mc:AlternateContent>
  <xr:revisionPtr revIDLastSave="0" documentId="13_ncr:1_{F07BBDC1-6180-4C7C-8BC4-297C76A12AA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RONT " sheetId="7" r:id="rId1"/>
    <sheet name="INDEX" sheetId="6" r:id="rId2"/>
    <sheet name="Checklist" sheetId="1" r:id="rId3"/>
  </sheets>
  <calcPr calcId="191029"/>
</workbook>
</file>

<file path=xl/calcChain.xml><?xml version="1.0" encoding="utf-8"?>
<calcChain xmlns="http://schemas.openxmlformats.org/spreadsheetml/2006/main">
  <c r="L6" i="1" l="1"/>
  <c r="D6" i="1" s="1"/>
  <c r="L13" i="1"/>
  <c r="D7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F7" i="1" l="1"/>
  <c r="F6" i="1"/>
  <c r="F21" i="1" l="1"/>
  <c r="F22" i="1" s="1"/>
  <c r="I17" i="1" l="1"/>
  <c r="I18" i="1" s="1"/>
</calcChain>
</file>

<file path=xl/sharedStrings.xml><?xml version="1.0" encoding="utf-8"?>
<sst xmlns="http://schemas.openxmlformats.org/spreadsheetml/2006/main" count="75" uniqueCount="53">
  <si>
    <t>Control</t>
  </si>
  <si>
    <t>Answer (Yes/No)</t>
  </si>
  <si>
    <t>Score</t>
  </si>
  <si>
    <t>Weight (%)</t>
  </si>
  <si>
    <t>Weighted Score</t>
  </si>
  <si>
    <t>VAPT</t>
  </si>
  <si>
    <t>Risk Assessment</t>
  </si>
  <si>
    <t>Secure SDLC</t>
  </si>
  <si>
    <t>SBOM</t>
  </si>
  <si>
    <t>CBOM</t>
  </si>
  <si>
    <t>API Security</t>
  </si>
  <si>
    <t>Authentication &amp; MFA</t>
  </si>
  <si>
    <t>Logging &amp; Monitoring</t>
  </si>
  <si>
    <t>Incident Response</t>
  </si>
  <si>
    <t>Encryption</t>
  </si>
  <si>
    <t>CIS Hardening</t>
  </si>
  <si>
    <t>Vendor Risk</t>
  </si>
  <si>
    <t>Change Management</t>
  </si>
  <si>
    <t>Backup &amp; DR</t>
  </si>
  <si>
    <t>Total Score</t>
  </si>
  <si>
    <t>Severity</t>
  </si>
  <si>
    <t>Open</t>
  </si>
  <si>
    <t>Closed</t>
  </si>
  <si>
    <t>Weight</t>
  </si>
  <si>
    <t>Critical</t>
  </si>
  <si>
    <t>VAPT Score</t>
  </si>
  <si>
    <t>High</t>
  </si>
  <si>
    <t>Medium</t>
  </si>
  <si>
    <t>Low</t>
  </si>
  <si>
    <t>Risk Level</t>
  </si>
  <si>
    <t>Risk Score</t>
  </si>
  <si>
    <t>Achieved Score</t>
  </si>
  <si>
    <t>Gap</t>
  </si>
  <si>
    <t>Yes</t>
  </si>
  <si>
    <t>No</t>
  </si>
  <si>
    <t>User management</t>
  </si>
  <si>
    <t>RISK ASSESSMENT</t>
  </si>
  <si>
    <t>DATE</t>
  </si>
  <si>
    <t>SPOC</t>
  </si>
  <si>
    <t>APPLICATION NAME</t>
  </si>
  <si>
    <t>APPLICATION SECURITY DASHBOARD</t>
  </si>
  <si>
    <t>INDEX</t>
  </si>
  <si>
    <t>SL</t>
  </si>
  <si>
    <t>Checklist!A1</t>
  </si>
  <si>
    <t>Checklist</t>
  </si>
  <si>
    <t>page</t>
  </si>
  <si>
    <t xml:space="preserve">ESAF SFB </t>
  </si>
  <si>
    <t>Creator</t>
  </si>
  <si>
    <t>Sidharth.s</t>
  </si>
  <si>
    <t>Date</t>
  </si>
  <si>
    <t>Criticality</t>
  </si>
  <si>
    <t>SAS</t>
  </si>
  <si>
    <t>Preethesh padman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</si>
</sst>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14" fontId="0" fillId="0" borderId="0" xfId="0" applyNumberFormat="1"/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1" borderId="0" xfId="0" applyFill="1"/>
    <xf numFmtId="0" fontId="1" fillId="6" borderId="2" xfId="0" applyFont="1" applyFill="1" applyBorder="1"/>
    <xf numFmtId="0" fontId="1" fillId="12" borderId="1" xfId="0" applyFont="1" applyFill="1" applyBorder="1"/>
    <xf numFmtId="0" fontId="0" fillId="12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Application</a:t>
            </a:r>
            <a:r>
              <a:rPr lang="en-IN" baseline="0"/>
              <a:t> security score</a:t>
            </a:r>
            <a:endParaRPr lang="en-IN"/>
          </a:p>
        </c:rich>
      </c:tx>
      <c:layout>
        <c:manualLayout>
          <c:xMode val="edge"/>
          <c:yMode val="edge"/>
          <c:x val="0.13888189154208974"/>
          <c:y val="3.5416920602629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28-496C-97C5-83664D7E9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28-496C-97C5-83664D7E93E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Checklist!$H$17:$H$18</c:f>
              <c:strCache>
                <c:ptCount val="2"/>
                <c:pt idx="0">
                  <c:v>Achieved Score</c:v>
                </c:pt>
                <c:pt idx="1">
                  <c:v>Gap</c:v>
                </c:pt>
              </c:strCache>
            </c:strRef>
          </c:cat>
          <c:val>
            <c:numRef>
              <c:f>Checklist!$I$17:$I$18</c:f>
              <c:numCache>
                <c:formatCode>General</c:formatCode>
                <c:ptCount val="2"/>
                <c:pt idx="0">
                  <c:v>75.892857142857139</c:v>
                </c:pt>
                <c:pt idx="1">
                  <c:v>24.107142857142861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2-4D6C-9D08-771B94B93D8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287</xdr:colOff>
      <xdr:row>15</xdr:row>
      <xdr:rowOff>4138</xdr:rowOff>
    </xdr:from>
    <xdr:to>
      <xdr:col>11</xdr:col>
      <xdr:colOff>820501</xdr:colOff>
      <xdr:row>25</xdr:row>
      <xdr:rowOff>26549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BDF4A3-135F-449C-A79D-E09FCDA97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1CFA-9E37-41EB-899E-EA50FEE83883}">
  <dimension ref="A4:E23"/>
  <sheetViews>
    <sheetView topLeftCell="A4" workbookViewId="0">
      <selection activeCell="G19" sqref="G19"/>
    </sheetView>
  </sheetViews>
  <sheetFormatPr defaultRowHeight="14.4" x14ac:dyDescent="0.3"/>
  <cols>
    <col min="1" max="1" width="38.33203125" customWidth="1"/>
    <col min="2" max="2" width="81.77734375" bestFit="1" customWidth="1"/>
    <col min="4" max="4" width="10.109375" bestFit="1" customWidth="1"/>
  </cols>
  <sheetData>
    <row r="4" spans="1:5" x14ac:dyDescent="0.3">
      <c r="A4" s="25"/>
      <c r="B4" s="25"/>
      <c r="C4" s="25"/>
      <c r="D4" s="25"/>
      <c r="E4" s="25"/>
    </row>
    <row r="5" spans="1:5" x14ac:dyDescent="0.3">
      <c r="A5" s="25"/>
      <c r="B5" s="25"/>
      <c r="C5" s="25"/>
      <c r="D5" s="25"/>
      <c r="E5" s="25"/>
    </row>
    <row r="6" spans="1:5" x14ac:dyDescent="0.3">
      <c r="A6" s="25"/>
      <c r="B6" s="25"/>
      <c r="C6" s="25"/>
      <c r="D6" s="25"/>
      <c r="E6" s="25"/>
    </row>
    <row r="7" spans="1:5" x14ac:dyDescent="0.3">
      <c r="A7" s="25"/>
      <c r="B7" s="26"/>
      <c r="C7" s="25"/>
      <c r="D7" s="25"/>
      <c r="E7" s="25"/>
    </row>
    <row r="8" spans="1:5" x14ac:dyDescent="0.3">
      <c r="A8" s="25"/>
      <c r="B8" s="25"/>
      <c r="C8" s="25"/>
      <c r="D8" s="27"/>
      <c r="E8" s="25"/>
    </row>
    <row r="9" spans="1:5" x14ac:dyDescent="0.3">
      <c r="A9" s="25"/>
      <c r="B9" s="25"/>
      <c r="C9" s="25"/>
      <c r="D9" s="25"/>
      <c r="E9" s="25"/>
    </row>
    <row r="10" spans="1:5" x14ac:dyDescent="0.3">
      <c r="A10" s="25"/>
      <c r="B10" s="25"/>
      <c r="C10" s="25"/>
      <c r="D10" s="25"/>
      <c r="E10" s="25"/>
    </row>
    <row r="11" spans="1:5" x14ac:dyDescent="0.3">
      <c r="A11" s="28"/>
      <c r="B11" s="33" t="s">
        <v>40</v>
      </c>
      <c r="C11" s="28"/>
      <c r="D11" s="28"/>
      <c r="E11" s="28"/>
    </row>
    <row r="12" spans="1:5" x14ac:dyDescent="0.3">
      <c r="A12" s="28"/>
      <c r="B12" s="34"/>
      <c r="C12" s="28"/>
      <c r="D12" s="28"/>
      <c r="E12" s="28"/>
    </row>
    <row r="13" spans="1:5" x14ac:dyDescent="0.3">
      <c r="A13" s="28"/>
      <c r="B13" s="34"/>
      <c r="C13" s="28"/>
      <c r="D13" s="28"/>
      <c r="E13" s="28"/>
    </row>
    <row r="14" spans="1:5" x14ac:dyDescent="0.3">
      <c r="A14" s="28"/>
      <c r="B14" s="34"/>
      <c r="C14" s="28"/>
      <c r="D14" s="28"/>
      <c r="E14" s="28"/>
    </row>
    <row r="15" spans="1:5" x14ac:dyDescent="0.3">
      <c r="A15" s="28"/>
      <c r="B15" s="34"/>
      <c r="C15" s="28"/>
      <c r="D15" s="28"/>
      <c r="E15" s="28"/>
    </row>
    <row r="16" spans="1:5" x14ac:dyDescent="0.3">
      <c r="A16" s="28"/>
      <c r="B16" s="34"/>
      <c r="C16" s="28"/>
      <c r="D16" s="28"/>
      <c r="E16" s="28"/>
    </row>
    <row r="17" spans="1:5" x14ac:dyDescent="0.3">
      <c r="A17" s="28"/>
      <c r="B17" s="34"/>
      <c r="C17" s="28"/>
      <c r="D17" s="28"/>
      <c r="E17" s="28"/>
    </row>
    <row r="18" spans="1:5" x14ac:dyDescent="0.3">
      <c r="B18" s="2" t="s">
        <v>46</v>
      </c>
    </row>
    <row r="22" spans="1:5" x14ac:dyDescent="0.3">
      <c r="C22" t="s">
        <v>47</v>
      </c>
      <c r="D22" t="s">
        <v>48</v>
      </c>
    </row>
    <row r="23" spans="1:5" x14ac:dyDescent="0.3">
      <c r="C23" t="s">
        <v>49</v>
      </c>
      <c r="D23" s="24">
        <v>46025</v>
      </c>
    </row>
  </sheetData>
  <mergeCells count="1">
    <mergeCell ref="B11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9B03-2B2A-483C-A3F6-D6091FEF93A5}">
  <dimension ref="A1:C3"/>
  <sheetViews>
    <sheetView workbookViewId="0">
      <selection activeCell="C3" sqref="C3"/>
    </sheetView>
  </sheetViews>
  <sheetFormatPr defaultRowHeight="14.4" x14ac:dyDescent="0.3"/>
  <cols>
    <col min="1" max="1" width="8.77734375" style="2"/>
    <col min="2" max="2" width="17.6640625" style="2" bestFit="1" customWidth="1"/>
    <col min="3" max="3" width="22.77734375" style="2" customWidth="1"/>
  </cols>
  <sheetData>
    <row r="1" spans="1:3" x14ac:dyDescent="0.3">
      <c r="A1" s="35" t="s">
        <v>41</v>
      </c>
      <c r="B1" s="35"/>
      <c r="C1" s="35"/>
    </row>
    <row r="2" spans="1:3" x14ac:dyDescent="0.3">
      <c r="A2" s="21" t="s">
        <v>42</v>
      </c>
      <c r="B2" s="21" t="s">
        <v>39</v>
      </c>
      <c r="C2" s="22" t="s">
        <v>45</v>
      </c>
    </row>
    <row r="3" spans="1:3" x14ac:dyDescent="0.3">
      <c r="A3" s="4">
        <v>1</v>
      </c>
      <c r="B3" s="4" t="s">
        <v>44</v>
      </c>
      <c r="C3" s="23" t="s">
        <v>43</v>
      </c>
    </row>
  </sheetData>
  <mergeCells count="1">
    <mergeCell ref="A1:C1"/>
  </mergeCells>
  <hyperlinks>
    <hyperlink ref="C3" location="Checklist!A1" display="Checklist!A1" xr:uid="{0F1806F9-994A-4C5A-83D1-C93C5D9ACED7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115" zoomScaleNormal="115" workbookViewId="0">
      <selection activeCell="G21" sqref="G21"/>
    </sheetView>
  </sheetViews>
  <sheetFormatPr defaultRowHeight="14.4" x14ac:dyDescent="0.3"/>
  <cols>
    <col min="1" max="1" width="8.77734375" style="2"/>
    <col min="2" max="2" width="19.77734375" bestFit="1" customWidth="1"/>
    <col min="3" max="3" width="15.6640625" bestFit="1" customWidth="1"/>
    <col min="4" max="4" width="5.6640625" bestFit="1" customWidth="1"/>
    <col min="5" max="5" width="11.33203125" customWidth="1"/>
    <col min="6" max="6" width="13.88671875" style="1" bestFit="1" customWidth="1"/>
    <col min="7" max="7" width="13.88671875" style="1" customWidth="1"/>
    <col min="8" max="8" width="13.44140625" bestFit="1" customWidth="1"/>
    <col min="9" max="9" width="5.33203125" bestFit="1" customWidth="1"/>
    <col min="11" max="11" width="6.77734375" bestFit="1" customWidth="1"/>
    <col min="12" max="12" width="11.77734375" bestFit="1" customWidth="1"/>
  </cols>
  <sheetData>
    <row r="1" spans="1:12" ht="23.4" x14ac:dyDescent="0.45">
      <c r="B1" s="38" t="s">
        <v>40</v>
      </c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x14ac:dyDescent="0.3">
      <c r="B2" s="5" t="s">
        <v>39</v>
      </c>
      <c r="C2" s="1" t="s">
        <v>51</v>
      </c>
    </row>
    <row r="3" spans="1:12" x14ac:dyDescent="0.3">
      <c r="B3" s="5" t="s">
        <v>37</v>
      </c>
      <c r="C3" s="32">
        <v>46026</v>
      </c>
    </row>
    <row r="4" spans="1:12" x14ac:dyDescent="0.3">
      <c r="B4" s="5" t="s">
        <v>38</v>
      </c>
      <c r="C4" t="s">
        <v>52</v>
      </c>
      <c r="H4" s="37" t="s">
        <v>5</v>
      </c>
      <c r="I4" s="37"/>
      <c r="J4" s="37"/>
      <c r="K4" s="37"/>
      <c r="L4" s="37"/>
    </row>
    <row r="5" spans="1:12" s="17" customFormat="1" x14ac:dyDescent="0.3">
      <c r="A5" s="6"/>
      <c r="B5" s="7" t="s">
        <v>0</v>
      </c>
      <c r="C5" s="7" t="s">
        <v>1</v>
      </c>
      <c r="D5" s="7" t="s">
        <v>2</v>
      </c>
      <c r="E5" s="7" t="s">
        <v>3</v>
      </c>
      <c r="F5" s="11" t="s">
        <v>4</v>
      </c>
      <c r="G5" s="18"/>
      <c r="H5" s="11" t="s">
        <v>20</v>
      </c>
      <c r="I5" s="11" t="s">
        <v>21</v>
      </c>
      <c r="J5" s="11" t="s">
        <v>22</v>
      </c>
      <c r="K5" s="11" t="s">
        <v>23</v>
      </c>
      <c r="L5" s="11" t="s">
        <v>25</v>
      </c>
    </row>
    <row r="6" spans="1:12" x14ac:dyDescent="0.3">
      <c r="A6" s="3">
        <v>1</v>
      </c>
      <c r="B6" s="30" t="s">
        <v>5</v>
      </c>
      <c r="C6" s="31" t="s">
        <v>33</v>
      </c>
      <c r="D6" s="31">
        <f>IF(C6&lt;&gt;"Yes",0,MIN(100,50+Checklist!L6))</f>
        <v>97.61904761904762</v>
      </c>
      <c r="E6" s="31">
        <v>15</v>
      </c>
      <c r="F6" s="31">
        <f t="shared" ref="F6:F20" si="0">D6*E6/100</f>
        <v>14.642857142857142</v>
      </c>
      <c r="G6" s="19"/>
      <c r="H6" s="13" t="s">
        <v>24</v>
      </c>
      <c r="I6" s="5">
        <v>6</v>
      </c>
      <c r="J6" s="5">
        <v>5</v>
      </c>
      <c r="K6" s="5">
        <v>40</v>
      </c>
      <c r="L6" s="36">
        <f>IF(SUM(I6:I9)+SUM(J6:J9)=0,100,100*(1-((I6*40+I7*30+I8*20+I9*10)/((I6+J6)*40+(I7+J7)*30+(I8+J8)*20+(I9+J9)*10))))</f>
        <v>47.619047619047613</v>
      </c>
    </row>
    <row r="7" spans="1:12" x14ac:dyDescent="0.3">
      <c r="A7" s="3">
        <v>2</v>
      </c>
      <c r="B7" s="5" t="s">
        <v>6</v>
      </c>
      <c r="C7" s="4" t="s">
        <v>33</v>
      </c>
      <c r="D7" s="4">
        <f>IF(C7&lt;&gt;"Yes",0,MIN(100,50+Checklist!L13))</f>
        <v>75</v>
      </c>
      <c r="E7" s="4">
        <v>15</v>
      </c>
      <c r="F7" s="4">
        <f t="shared" si="0"/>
        <v>11.25</v>
      </c>
      <c r="G7" s="19"/>
      <c r="H7" s="14" t="s">
        <v>26</v>
      </c>
      <c r="I7" s="5">
        <v>5</v>
      </c>
      <c r="J7" s="5">
        <v>5</v>
      </c>
      <c r="K7" s="5">
        <v>30</v>
      </c>
      <c r="L7" s="36"/>
    </row>
    <row r="8" spans="1:12" x14ac:dyDescent="0.3">
      <c r="A8" s="3">
        <v>3</v>
      </c>
      <c r="B8" s="5" t="s">
        <v>7</v>
      </c>
      <c r="C8" s="4" t="s">
        <v>33</v>
      </c>
      <c r="D8" s="4">
        <f t="shared" ref="D8:D20" si="1">IF(C8="Yes",100,0)</f>
        <v>100</v>
      </c>
      <c r="E8" s="4">
        <v>8</v>
      </c>
      <c r="F8" s="4">
        <f t="shared" si="0"/>
        <v>8</v>
      </c>
      <c r="G8" s="19"/>
      <c r="H8" s="15" t="s">
        <v>27</v>
      </c>
      <c r="I8" s="5">
        <v>2</v>
      </c>
      <c r="J8" s="5">
        <v>2</v>
      </c>
      <c r="K8" s="5">
        <v>20</v>
      </c>
      <c r="L8" s="36"/>
    </row>
    <row r="9" spans="1:12" x14ac:dyDescent="0.3">
      <c r="A9" s="3">
        <v>4</v>
      </c>
      <c r="B9" s="5" t="s">
        <v>8</v>
      </c>
      <c r="C9" s="4" t="s">
        <v>34</v>
      </c>
      <c r="D9" s="4">
        <f t="shared" si="1"/>
        <v>0</v>
      </c>
      <c r="E9" s="4">
        <v>6</v>
      </c>
      <c r="F9" s="4">
        <f t="shared" si="0"/>
        <v>0</v>
      </c>
      <c r="G9" s="19"/>
      <c r="H9" s="16" t="s">
        <v>28</v>
      </c>
      <c r="I9" s="5">
        <v>1</v>
      </c>
      <c r="J9" s="5">
        <v>1</v>
      </c>
      <c r="K9" s="5">
        <v>10</v>
      </c>
      <c r="L9" s="36"/>
    </row>
    <row r="10" spans="1:12" x14ac:dyDescent="0.3">
      <c r="A10" s="3">
        <v>5</v>
      </c>
      <c r="B10" s="5" t="s">
        <v>9</v>
      </c>
      <c r="C10" s="4" t="s">
        <v>34</v>
      </c>
      <c r="D10" s="4">
        <f t="shared" si="1"/>
        <v>0</v>
      </c>
      <c r="E10" s="4">
        <v>6</v>
      </c>
      <c r="F10" s="4">
        <f t="shared" si="0"/>
        <v>0</v>
      </c>
      <c r="G10" s="2"/>
    </row>
    <row r="11" spans="1:12" x14ac:dyDescent="0.3">
      <c r="A11" s="3">
        <v>6</v>
      </c>
      <c r="B11" s="5" t="s">
        <v>10</v>
      </c>
      <c r="C11" s="4" t="s">
        <v>33</v>
      </c>
      <c r="D11" s="4">
        <f t="shared" si="1"/>
        <v>100</v>
      </c>
      <c r="E11" s="4">
        <v>8</v>
      </c>
      <c r="F11" s="4">
        <f t="shared" si="0"/>
        <v>8</v>
      </c>
      <c r="G11" s="4"/>
      <c r="H11" s="37" t="s">
        <v>36</v>
      </c>
      <c r="I11" s="37"/>
      <c r="J11" s="37"/>
      <c r="K11" s="37"/>
      <c r="L11" s="37"/>
    </row>
    <row r="12" spans="1:12" x14ac:dyDescent="0.3">
      <c r="A12" s="3">
        <v>7</v>
      </c>
      <c r="B12" s="5" t="s">
        <v>11</v>
      </c>
      <c r="C12" s="4" t="s">
        <v>33</v>
      </c>
      <c r="D12" s="4">
        <f t="shared" si="1"/>
        <v>100</v>
      </c>
      <c r="E12" s="4">
        <v>8</v>
      </c>
      <c r="F12" s="4">
        <f t="shared" si="0"/>
        <v>8</v>
      </c>
      <c r="G12" s="4"/>
      <c r="H12" s="11" t="s">
        <v>29</v>
      </c>
      <c r="I12" s="11" t="s">
        <v>21</v>
      </c>
      <c r="J12" s="11" t="s">
        <v>22</v>
      </c>
      <c r="K12" s="11" t="s">
        <v>23</v>
      </c>
      <c r="L12" s="11" t="s">
        <v>30</v>
      </c>
    </row>
    <row r="13" spans="1:12" x14ac:dyDescent="0.3">
      <c r="A13" s="3">
        <v>8</v>
      </c>
      <c r="B13" s="5" t="s">
        <v>35</v>
      </c>
      <c r="C13" s="4" t="s">
        <v>34</v>
      </c>
      <c r="D13" s="4">
        <f t="shared" si="1"/>
        <v>0</v>
      </c>
      <c r="E13" s="4">
        <v>6</v>
      </c>
      <c r="F13" s="4">
        <f t="shared" si="0"/>
        <v>0</v>
      </c>
      <c r="G13" s="4"/>
      <c r="H13" s="8" t="s">
        <v>26</v>
      </c>
      <c r="I13" s="5">
        <v>5</v>
      </c>
      <c r="J13" s="5">
        <v>2</v>
      </c>
      <c r="K13" s="5">
        <v>50</v>
      </c>
      <c r="L13" s="36">
        <f>IF(SUM(I13:I15)+SUM(J13:J15)=0,100,100*(1-((I13*50+I14*30+I15*20)/((I13+J13)*50+(I14+J14)*30+(I15+J15)*20))))</f>
        <v>25</v>
      </c>
    </row>
    <row r="14" spans="1:12" x14ac:dyDescent="0.3">
      <c r="A14" s="3">
        <v>9</v>
      </c>
      <c r="B14" s="5" t="s">
        <v>12</v>
      </c>
      <c r="C14" s="4" t="s">
        <v>33</v>
      </c>
      <c r="D14" s="4">
        <f t="shared" si="1"/>
        <v>100</v>
      </c>
      <c r="E14" s="4">
        <v>6</v>
      </c>
      <c r="F14" s="4">
        <f t="shared" si="0"/>
        <v>6</v>
      </c>
      <c r="G14" s="4"/>
      <c r="H14" s="9" t="s">
        <v>27</v>
      </c>
      <c r="I14" s="5">
        <v>7</v>
      </c>
      <c r="J14" s="5">
        <v>2</v>
      </c>
      <c r="K14" s="5">
        <v>30</v>
      </c>
      <c r="L14" s="36"/>
    </row>
    <row r="15" spans="1:12" x14ac:dyDescent="0.3">
      <c r="A15" s="3">
        <v>10</v>
      </c>
      <c r="B15" s="5" t="s">
        <v>13</v>
      </c>
      <c r="C15" s="4" t="s">
        <v>33</v>
      </c>
      <c r="D15" s="4">
        <f t="shared" si="1"/>
        <v>100</v>
      </c>
      <c r="E15" s="4">
        <v>4</v>
      </c>
      <c r="F15" s="4">
        <f t="shared" si="0"/>
        <v>4</v>
      </c>
      <c r="G15" s="4"/>
      <c r="H15" s="10" t="s">
        <v>28</v>
      </c>
      <c r="I15" s="5">
        <v>7</v>
      </c>
      <c r="J15" s="5">
        <v>2</v>
      </c>
      <c r="K15" s="5">
        <v>20</v>
      </c>
      <c r="L15" s="36"/>
    </row>
    <row r="16" spans="1:12" x14ac:dyDescent="0.3">
      <c r="A16" s="3">
        <v>11</v>
      </c>
      <c r="B16" s="5" t="s">
        <v>14</v>
      </c>
      <c r="C16" s="4" t="s">
        <v>33</v>
      </c>
      <c r="D16" s="4">
        <f t="shared" si="1"/>
        <v>100</v>
      </c>
      <c r="E16" s="4">
        <v>5</v>
      </c>
      <c r="F16" s="4">
        <f t="shared" si="0"/>
        <v>5</v>
      </c>
      <c r="G16" s="2"/>
    </row>
    <row r="17" spans="1:9" x14ac:dyDescent="0.3">
      <c r="A17" s="3">
        <v>12</v>
      </c>
      <c r="B17" s="5" t="s">
        <v>15</v>
      </c>
      <c r="C17" s="4" t="s">
        <v>33</v>
      </c>
      <c r="D17" s="4">
        <f t="shared" si="1"/>
        <v>100</v>
      </c>
      <c r="E17" s="4">
        <v>5</v>
      </c>
      <c r="F17" s="4">
        <f t="shared" si="0"/>
        <v>5</v>
      </c>
      <c r="G17" s="2"/>
      <c r="H17" t="s">
        <v>31</v>
      </c>
      <c r="I17">
        <f>Checklist!F21</f>
        <v>75.892857142857139</v>
      </c>
    </row>
    <row r="18" spans="1:9" x14ac:dyDescent="0.3">
      <c r="A18" s="3">
        <v>13</v>
      </c>
      <c r="B18" s="5" t="s">
        <v>16</v>
      </c>
      <c r="C18" s="4" t="s">
        <v>33</v>
      </c>
      <c r="D18" s="4">
        <f t="shared" si="1"/>
        <v>100</v>
      </c>
      <c r="E18" s="4">
        <v>4</v>
      </c>
      <c r="F18" s="4">
        <f t="shared" si="0"/>
        <v>4</v>
      </c>
      <c r="G18" s="2"/>
      <c r="H18" t="s">
        <v>32</v>
      </c>
      <c r="I18">
        <f>100-I17</f>
        <v>24.107142857142861</v>
      </c>
    </row>
    <row r="19" spans="1:9" x14ac:dyDescent="0.3">
      <c r="A19" s="3">
        <v>14</v>
      </c>
      <c r="B19" s="5" t="s">
        <v>17</v>
      </c>
      <c r="C19" s="4" t="s">
        <v>34</v>
      </c>
      <c r="D19" s="4">
        <f t="shared" si="1"/>
        <v>0</v>
      </c>
      <c r="E19" s="4">
        <v>2</v>
      </c>
      <c r="F19" s="4">
        <f t="shared" si="0"/>
        <v>0</v>
      </c>
      <c r="G19" s="2"/>
    </row>
    <row r="20" spans="1:9" x14ac:dyDescent="0.3">
      <c r="A20" s="3">
        <v>15</v>
      </c>
      <c r="B20" s="5" t="s">
        <v>18</v>
      </c>
      <c r="C20" s="4" t="s">
        <v>33</v>
      </c>
      <c r="D20" s="4">
        <f t="shared" si="1"/>
        <v>100</v>
      </c>
      <c r="E20" s="4">
        <v>2</v>
      </c>
      <c r="F20" s="4">
        <f t="shared" si="0"/>
        <v>2</v>
      </c>
      <c r="G20" s="2"/>
    </row>
    <row r="21" spans="1:9" x14ac:dyDescent="0.3">
      <c r="E21" s="29" t="s">
        <v>19</v>
      </c>
      <c r="F21" s="20">
        <f>SUM(F6:F20)</f>
        <v>75.892857142857139</v>
      </c>
    </row>
    <row r="22" spans="1:9" x14ac:dyDescent="0.3">
      <c r="E22" s="29" t="s">
        <v>50</v>
      </c>
      <c r="F22" s="12" t="str">
        <f>IF(F21="","",IF(F21&lt;=25,"Critical",IF(F21&lt;=50,"High",IF(F21&lt;=75,"Medium",IF(F21&lt;=90,"Low","Insignificant")))))</f>
        <v>Low</v>
      </c>
    </row>
  </sheetData>
  <mergeCells count="5">
    <mergeCell ref="L6:L9"/>
    <mergeCell ref="L13:L15"/>
    <mergeCell ref="H11:L11"/>
    <mergeCell ref="H4:L4"/>
    <mergeCell ref="B1:L1"/>
  </mergeCells>
  <conditionalFormatting sqref="F21">
    <cfRule type="expression" dxfId="9" priority="2">
      <formula>AND($F$21&gt;=90,$F$21&lt;=100)</formula>
    </cfRule>
    <cfRule type="expression" dxfId="8" priority="7">
      <formula>AND($F$21&gt;=75,$F$21&lt;=100)</formula>
    </cfRule>
    <cfRule type="expression" dxfId="7" priority="8">
      <formula>AND($F$21&gt;=51,$F$21&lt;=75)</formula>
    </cfRule>
    <cfRule type="expression" dxfId="6" priority="9">
      <formula>AND($F$21&gt;=50,$F$21&lt;=75)</formula>
    </cfRule>
    <cfRule type="expression" dxfId="5" priority="11">
      <formula>AND($F$21&gt;=1,$F$21&lt;=25)</formula>
    </cfRule>
  </conditionalFormatting>
  <conditionalFormatting sqref="F22">
    <cfRule type="expression" dxfId="4" priority="1">
      <formula>$F$22="Insignificant"</formula>
    </cfRule>
    <cfRule type="expression" dxfId="3" priority="3">
      <formula>$F$22="Low"</formula>
    </cfRule>
    <cfRule type="expression" dxfId="2" priority="4">
      <formula>$F$22="Medium"</formula>
    </cfRule>
    <cfRule type="expression" dxfId="1" priority="5">
      <formula>$F$22="High"</formula>
    </cfRule>
    <cfRule type="expression" dxfId="0" priority="6">
      <formula>$F$22="Critical"</formula>
    </cfRule>
  </conditionalFormatting>
  <dataValidations count="1">
    <dataValidation type="list" allowBlank="1" sqref="C6:C20" xr:uid="{00000000-0002-0000-0000-000000000000}">
      <formula1>"Yes,No"</formula1>
    </dataValidation>
  </dataValidations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 </vt:lpstr>
      <vt:lpstr>INDEX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Punnya Prasad</cp:lastModifiedBy>
  <dcterms:created xsi:type="dcterms:W3CDTF">2026-01-03T07:35:16Z</dcterms:created>
  <dcterms:modified xsi:type="dcterms:W3CDTF">2026-01-08T11:55:40Z</dcterms:modified>
</cp:coreProperties>
</file>